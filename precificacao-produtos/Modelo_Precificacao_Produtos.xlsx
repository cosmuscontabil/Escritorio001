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recificaçã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<sst xmlns="http://schemas.openxmlformats.org/spreadsheetml/2006/main" count="78" uniqueCount="74">
  <si>
    <t xml:space="preserve">Modelo de Formação de Preço — Cosmus Contabilidade</t>
  </si>
  <si>
    <t xml:space="preserve">Guia de uso da planilha e alíquotas de referência (ano-base 2026)</t>
  </si>
  <si>
    <t xml:space="preserve">1. Como usar</t>
  </si>
  <si>
    <t xml:space="preserve">1) Vá na aba "Precificação". Cada linha é um produto.</t>
  </si>
  <si>
    <t xml:space="preserve">2) Preencha os campos em AZUL: custo, regime tributário e as alíquotas dos impostos que incidem sobre o produto, e as 3 margens desejadas (mínima, ideal e otimizada).</t>
  </si>
  <si>
    <t xml:space="preserve">3) Os campos em PRETO são calculados automaticamente: custo total, carga tributária total e os 3 preços sugeridos.</t>
  </si>
  <si>
    <t xml:space="preserve">4) A linha 6 (fundo amarelo) é um EXEMPLO preenchido — pode apagar o conteúdo dela ou usá-la como referência de preenchimento.</t>
  </si>
  <si>
    <t xml:space="preserve">5) Se a soma da carga tributária + margem chegar a 100% ou mais, a célula do preço mostra "Inviável" — a conta não fecha e a margem precisa ser revista.</t>
  </si>
  <si>
    <t xml:space="preserve">2. Fórmula usada</t>
  </si>
  <si>
    <t xml:space="preserve">Preço de venda = Custo total unitário ÷ (1 − Carga tributária % − Margem desejada %)</t>
  </si>
  <si>
    <t xml:space="preserve">É o cálculo "por dentro", padrão no varejo/indústria brasileira: tanto os impostos quanto a margem são um percentual do PREÇO DE VENDA (não do custo). Por isso o preço não é simplesmente custo + impostos + margem somados.</t>
  </si>
  <si>
    <t xml:space="preserve">3. Qual campo preencher em cada regime tributário</t>
  </si>
  <si>
    <t xml:space="preserve">Regime</t>
  </si>
  <si>
    <t xml:space="preserve">Preencher</t>
  </si>
  <si>
    <t xml:space="preserve">Deixar em 0%</t>
  </si>
  <si>
    <t xml:space="preserve">Simples Nacional — Regular</t>
  </si>
  <si>
    <t xml:space="preserve">Coluna "DAS Simples (%)" com a alíquota efetiva da faixa (ver tabela do Simples Nacional 2026).</t>
  </si>
  <si>
    <t xml:space="preserve">ICMS, ISS, PIS, COFINS, IRPJ/CSLL, CBS e IBS (em 2026 esses tributos ficam embutidos/compensados no DAS).</t>
  </si>
  <si>
    <t xml:space="preserve">Simples Nacional — Híbrido</t>
  </si>
  <si>
    <t xml:space="preserve">DAS (sem os tributos que saem do Simples) + ICMS/ISS relevante + CBS/IBS apurados por fora. Válido a partir de 2027.</t>
  </si>
  <si>
    <t xml:space="preserve">—</t>
  </si>
  <si>
    <t xml:space="preserve">Lucro Presumido</t>
  </si>
  <si>
    <t xml:space="preserve">ICMS e/ou ISS e/ou IPI (conforme o produto/serviço), PIS 0,65%, COFINS 3%, IRPJ+CSLL efetivo sobre a presunção, CBS e IBS.</t>
  </si>
  <si>
    <t xml:space="preserve">DAS Simples.</t>
  </si>
  <si>
    <t xml:space="preserve">Lucro Real</t>
  </si>
  <si>
    <t xml:space="preserve">ICMS e/ou ISS e/ou IPI (conforme o produto/serviço), PIS 1,65%, COFINS 7,6%, IRPJ+CSLL efetivo sobre o lucro real, CBS e IBS.</t>
  </si>
  <si>
    <t xml:space="preserve">4. Alíquotas de referência 2026 (ano-teste da Reforma Tributária)</t>
  </si>
  <si>
    <t xml:space="preserve">Confirme sempre a alíquota exata do produto/serviço/estado/município antes de fechar o preço — os valores abaixo são referência geral, não uma tabela definitiva.</t>
  </si>
  <si>
    <t xml:space="preserve">Simples Nacional</t>
  </si>
  <si>
    <t xml:space="preserve">Anexo I (comércio) 4% a 19% · Anexo II (indústria) 4,5% a 30% · Anexo III (serviços) 6% a 33% · Anexo IV 4,5% a 33% · Anexo V (Fator R) 15,5% a 30,5%. A alíquota EFETIVA (a usar na planilha) vem da fórmula [(RBT12 × alíquota nominal) − parcela a deduzir] ÷ RBT12 — consulte a tabela oficial do Simples Nacional 2026.</t>
  </si>
  <si>
    <t xml:space="preserve">IRPJ 15% (+10% adicional sobre o que exceder R$ 20.000/mês) · CSLL 9% · PIS 0,65% · COFINS 3% (cumulativo) · Presunção do lucro: 8% comércio/indústria e 32% serviços (base do IRPJ); 12% e 32% para a CSLL. A partir de 2026, receita anual acima de R$ 5 milhões soma +10 p.p. ao percentual de presunção.</t>
  </si>
  <si>
    <t xml:space="preserve">IRPJ 15% (+10% adicional) e CSLL 9%, ambos sobre o lucro real apurado (não sobre a receita) · PIS 1,65% e COFINS 7,6% (não cumulativos, com direito a crédito).</t>
  </si>
  <si>
    <t xml:space="preserve">ICMS</t>
  </si>
  <si>
    <t xml:space="preserve">Varia por estado — em geral 17% a 22% nas operações internas. Confirme a alíquota do estado e do produto (pode haver redução/substituição tributária).</t>
  </si>
  <si>
    <t xml:space="preserve">ISS</t>
  </si>
  <si>
    <t xml:space="preserve">Varia por município — de 2% a 5%, definido em lei municipal conforme o serviço.</t>
  </si>
  <si>
    <t xml:space="preserve">IPI</t>
  </si>
  <si>
    <t xml:space="preserve">Varia por NCM do produto — de 0% a alíquotas elevadas em itens específicos (a maioria das mercadorias tem alíquota baixa ou zero).</t>
  </si>
  <si>
    <t xml:space="preserve">CBS e IBS (Reforma Tributária)</t>
  </si>
  <si>
    <t xml:space="preserve">2026 é ano-teste: CBS 0,9% + IBS 0,1% sobre a operação, com recolhimento compensável com PIS/COFINS — quem cumprir as obrigações acessórias pode ficar dispensado do pagamento efetivo em 2026. A partir de 2027 a CBS substitui PIS/COFINS e o ICMS/ISS começam a reduzir gradualmente até serem extintos em 2033, quando o IBS assume integralmente. Reveja estas alíquotas todo início de ano até 2033.</t>
  </si>
  <si>
    <t xml:space="preserve">5. Fontes consultadas (agosto/2026)</t>
  </si>
  <si>
    <t xml:space="preserve">• LC 214/2023 — Lei Complementar da Reforma Tributária (CBS, IBS e IS)</t>
  </si>
  <si>
    <t xml:space="preserve">• Receita Federal / Portal do Simples Nacional — Comitê Gestor do Simples Nacional (CGSN)</t>
  </si>
  <si>
    <t xml:space="preserve">• grupofiscoplan.com.br — Alíquotas-teste para IBS e CBS em 2026</t>
  </si>
  <si>
    <t xml:space="preserve">• contabeis.com.br — Simples Nacional: opção pelo regime híbrido em setembro/2026</t>
  </si>
  <si>
    <t xml:space="preserve">• planning.com.br / contabilizei.com.br — Alíquotas e presunção do Lucro Presumido em 2026</t>
  </si>
  <si>
    <t xml:space="preserve">Este material é um guia de apoio interno; não substitui a análise do contador responsável por cada cliente/produto.</t>
  </si>
  <si>
    <t xml:space="preserve">Formação de Preço de Produtos — Cosmus Contabilidade</t>
  </si>
  <si>
    <t xml:space="preserve">Azul = preencha você.   Preto = calculado automaticamente.   Linha amarela = exemplo.   Veja a aba "Instruções" para o guia completo e as alíquotas de referência 2026.</t>
  </si>
  <si>
    <t xml:space="preserve">Produto</t>
  </si>
  <si>
    <t xml:space="preserve">Custo unitário
(R$)</t>
  </si>
  <si>
    <t xml:space="preserve">Custos variáveis
extras (R$/un)</t>
  </si>
  <si>
    <t xml:space="preserve">Despesas fixas
rateadas (R$/un)</t>
  </si>
  <si>
    <t xml:space="preserve">Custo total
unitário (R$)</t>
  </si>
  <si>
    <t xml:space="preserve">Regime tributário</t>
  </si>
  <si>
    <t xml:space="preserve">DAS Simples
(%)</t>
  </si>
  <si>
    <t xml:space="preserve">ICMS
(%)</t>
  </si>
  <si>
    <t xml:space="preserve">ISS
(%)</t>
  </si>
  <si>
    <t xml:space="preserve">IPI
(%)</t>
  </si>
  <si>
    <t xml:space="preserve">PIS
(%)</t>
  </si>
  <si>
    <t xml:space="preserve">COFINS
(%)</t>
  </si>
  <si>
    <t xml:space="preserve">IRPJ+CSLL
efetivo (%)</t>
  </si>
  <si>
    <t xml:space="preserve">CBS
(%)</t>
  </si>
  <si>
    <t xml:space="preserve">IBS
(%)</t>
  </si>
  <si>
    <t xml:space="preserve">Carga tributária
total (%)</t>
  </si>
  <si>
    <t xml:space="preserve">Margem
mínima (%)</t>
  </si>
  <si>
    <t xml:space="preserve">Margem
ideal (%)</t>
  </si>
  <si>
    <t xml:space="preserve">Margem
otimizada (%)</t>
  </si>
  <si>
    <t xml:space="preserve">Preço sugerido
Margem mínima (R$)</t>
  </si>
  <si>
    <t xml:space="preserve">Preço sugerido
Margem ideal (R$)</t>
  </si>
  <si>
    <t xml:space="preserve">Preço sugerido
Margem otimizada (R$)</t>
  </si>
  <si>
    <t xml:space="preserve">Impostos na
margem ideal (R$)</t>
  </si>
  <si>
    <t xml:space="preserve">Lucro na
margem ideal (R$)</t>
  </si>
  <si>
    <t xml:space="preserve">Camiseta modelo básico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</si>
</sst>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4" min="3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true" outlineLevel="0" collapsed="false">
      <c r="A5" s="4" t="s">
        <v>3</v>
      </c>
      <c r="B5" s="4"/>
      <c r="C5" s="4"/>
      <c r="D5" s="4"/>
    </row>
    <row r="6" customFormat="false" ht="15" hidden="false" customHeight="true" outlineLevel="0" collapsed="false">
      <c r="A6" s="4" t="s">
        <v>4</v>
      </c>
      <c r="B6" s="4"/>
      <c r="C6" s="4"/>
      <c r="D6" s="4"/>
    </row>
    <row r="7" customFormat="false" ht="15" hidden="false" customHeight="true" outlineLevel="0" collapsed="false">
      <c r="A7" s="4" t="s">
        <v>5</v>
      </c>
      <c r="B7" s="4"/>
      <c r="C7" s="4"/>
      <c r="D7" s="4"/>
    </row>
    <row r="8" customFormat="false" ht="15" hidden="false" customHeight="true" outlineLevel="0" collapsed="false">
      <c r="A8" s="4" t="s">
        <v>6</v>
      </c>
      <c r="B8" s="4"/>
      <c r="C8" s="4"/>
      <c r="D8" s="4"/>
    </row>
    <row r="9" customFormat="false" ht="15" hidden="false" customHeight="true" outlineLevel="0" collapsed="false">
      <c r="A9" s="4" t="s">
        <v>7</v>
      </c>
      <c r="B9" s="4"/>
      <c r="C9" s="4"/>
      <c r="D9" s="4"/>
    </row>
    <row r="11" customFormat="false" ht="15" hidden="false" customHeight="false" outlineLevel="0" collapsed="false">
      <c r="A11" s="3" t="s">
        <v>8</v>
      </c>
      <c r="B11" s="3"/>
      <c r="C11" s="3"/>
      <c r="D11" s="3"/>
    </row>
    <row r="12" customFormat="false" ht="15" hidden="false" customHeight="true" outlineLevel="0" collapsed="false">
      <c r="A12" s="5" t="s">
        <v>9</v>
      </c>
      <c r="B12" s="5"/>
      <c r="C12" s="5"/>
      <c r="D12" s="5"/>
    </row>
    <row r="13" customFormat="false" ht="15" hidden="false" customHeight="true" outlineLevel="0" collapsed="false">
      <c r="A13" s="4" t="s">
        <v>10</v>
      </c>
      <c r="B13" s="4"/>
      <c r="C13" s="4"/>
      <c r="D13" s="4"/>
    </row>
    <row r="15" customFormat="false" ht="15" hidden="false" customHeight="false" outlineLevel="0" collapsed="false">
      <c r="A15" s="3" t="s">
        <v>11</v>
      </c>
      <c r="B15" s="3"/>
      <c r="C15" s="3"/>
      <c r="D15" s="3"/>
    </row>
    <row r="16" customFormat="false" ht="15" hidden="false" customHeight="false" outlineLevel="0" collapsed="false">
      <c r="A16" s="6" t="s">
        <v>12</v>
      </c>
      <c r="B16" s="6" t="s">
        <v>13</v>
      </c>
      <c r="C16" s="6" t="s">
        <v>14</v>
      </c>
    </row>
    <row r="17" customFormat="false" ht="45.75" hidden="false" customHeight="true" outlineLevel="0" collapsed="false">
      <c r="A17" s="7" t="s">
        <v>15</v>
      </c>
      <c r="B17" s="7" t="s">
        <v>16</v>
      </c>
      <c r="C17" s="7" t="s">
        <v>17</v>
      </c>
    </row>
    <row r="18" customFormat="false" ht="45.75" hidden="false" customHeight="true" outlineLevel="0" collapsed="false">
      <c r="A18" s="7" t="s">
        <v>18</v>
      </c>
      <c r="B18" s="7" t="s">
        <v>19</v>
      </c>
      <c r="C18" s="7" t="s">
        <v>20</v>
      </c>
    </row>
    <row r="19" customFormat="false" ht="45.75" hidden="false" customHeight="true" outlineLevel="0" collapsed="false">
      <c r="A19" s="7" t="s">
        <v>21</v>
      </c>
      <c r="B19" s="7" t="s">
        <v>22</v>
      </c>
      <c r="C19" s="7" t="s">
        <v>23</v>
      </c>
    </row>
    <row r="20" customFormat="false" ht="45.75" hidden="false" customHeight="true" outlineLevel="0" collapsed="false">
      <c r="A20" s="7" t="s">
        <v>24</v>
      </c>
      <c r="B20" s="7" t="s">
        <v>25</v>
      </c>
      <c r="C20" s="7" t="s">
        <v>23</v>
      </c>
    </row>
    <row r="22" customFormat="false" ht="15" hidden="false" customHeight="false" outlineLevel="0" collapsed="false">
      <c r="A22" s="3" t="s">
        <v>26</v>
      </c>
      <c r="B22" s="3"/>
      <c r="C22" s="3"/>
      <c r="D22" s="3"/>
    </row>
    <row r="23" customFormat="false" ht="15" hidden="false" customHeight="true" outlineLevel="0" collapsed="false">
      <c r="A23" s="4" t="s">
        <v>27</v>
      </c>
      <c r="B23" s="4"/>
      <c r="C23" s="4"/>
      <c r="D23" s="4"/>
    </row>
    <row r="25" customFormat="false" ht="60" hidden="false" customHeight="true" outlineLevel="0" collapsed="false">
      <c r="A25" s="8" t="s">
        <v>28</v>
      </c>
      <c r="B25" s="9" t="s">
        <v>29</v>
      </c>
      <c r="C25" s="9"/>
      <c r="D25" s="9"/>
    </row>
    <row r="26" customFormat="false" ht="60" hidden="false" customHeight="true" outlineLevel="0" collapsed="false">
      <c r="A26" s="8" t="s">
        <v>21</v>
      </c>
      <c r="B26" s="9" t="s">
        <v>30</v>
      </c>
      <c r="C26" s="9"/>
      <c r="D26" s="9"/>
    </row>
    <row r="27" customFormat="false" ht="60" hidden="false" customHeight="true" outlineLevel="0" collapsed="false">
      <c r="A27" s="8" t="s">
        <v>24</v>
      </c>
      <c r="B27" s="9" t="s">
        <v>31</v>
      </c>
      <c r="C27" s="9"/>
      <c r="D27" s="9"/>
    </row>
    <row r="28" customFormat="false" ht="60" hidden="false" customHeight="true" outlineLevel="0" collapsed="false">
      <c r="A28" s="8" t="s">
        <v>32</v>
      </c>
      <c r="B28" s="9" t="s">
        <v>33</v>
      </c>
      <c r="C28" s="9"/>
      <c r="D28" s="9"/>
    </row>
    <row r="29" customFormat="false" ht="60" hidden="false" customHeight="true" outlineLevel="0" collapsed="false">
      <c r="A29" s="8" t="s">
        <v>34</v>
      </c>
      <c r="B29" s="9" t="s">
        <v>35</v>
      </c>
      <c r="C29" s="9"/>
      <c r="D29" s="9"/>
    </row>
    <row r="30" customFormat="false" ht="60" hidden="false" customHeight="true" outlineLevel="0" collapsed="false">
      <c r="A30" s="8" t="s">
        <v>36</v>
      </c>
      <c r="B30" s="9" t="s">
        <v>37</v>
      </c>
      <c r="C30" s="9"/>
      <c r="D30" s="9"/>
    </row>
    <row r="31" customFormat="false" ht="60" hidden="false" customHeight="true" outlineLevel="0" collapsed="false">
      <c r="A31" s="8" t="s">
        <v>38</v>
      </c>
      <c r="B31" s="9" t="s">
        <v>39</v>
      </c>
      <c r="C31" s="9"/>
      <c r="D31" s="9"/>
    </row>
    <row r="33" customFormat="false" ht="15" hidden="false" customHeight="false" outlineLevel="0" collapsed="false">
      <c r="A33" s="3" t="s">
        <v>40</v>
      </c>
      <c r="B33" s="3"/>
      <c r="C33" s="3"/>
      <c r="D33" s="3"/>
    </row>
    <row r="34" customFormat="false" ht="15" hidden="false" customHeight="true" outlineLevel="0" collapsed="false">
      <c r="A34" s="4" t="s">
        <v>41</v>
      </c>
      <c r="B34" s="4"/>
      <c r="C34" s="4"/>
      <c r="D34" s="4"/>
    </row>
    <row r="35" customFormat="false" ht="15" hidden="false" customHeight="true" outlineLevel="0" collapsed="false">
      <c r="A35" s="4" t="s">
        <v>42</v>
      </c>
      <c r="B35" s="4"/>
      <c r="C35" s="4"/>
      <c r="D35" s="4"/>
    </row>
    <row r="36" customFormat="false" ht="15" hidden="false" customHeight="true" outlineLevel="0" collapsed="false">
      <c r="A36" s="4" t="s">
        <v>43</v>
      </c>
      <c r="B36" s="4"/>
      <c r="C36" s="4"/>
      <c r="D36" s="4"/>
    </row>
    <row r="37" customFormat="false" ht="15" hidden="false" customHeight="true" outlineLevel="0" collapsed="false">
      <c r="A37" s="4" t="s">
        <v>44</v>
      </c>
      <c r="B37" s="4"/>
      <c r="C37" s="4"/>
      <c r="D37" s="4"/>
    </row>
    <row r="38" customFormat="false" ht="15" hidden="false" customHeight="true" outlineLevel="0" collapsed="false">
      <c r="A38" s="4" t="s">
        <v>45</v>
      </c>
      <c r="B38" s="4"/>
      <c r="C38" s="4"/>
      <c r="D38" s="4"/>
    </row>
    <row r="39" customFormat="false" ht="15" hidden="false" customHeight="true" outlineLevel="0" collapsed="false">
      <c r="A39" s="10" t="s">
        <v>46</v>
      </c>
      <c r="B39" s="10"/>
      <c r="C39" s="10"/>
      <c r="D39" s="10"/>
    </row>
  </sheetData>
  <mergeCells count="28">
    <mergeCell ref="A1:D1"/>
    <mergeCell ref="A2:D2"/>
    <mergeCell ref="A4:D4"/>
    <mergeCell ref="A5:D5"/>
    <mergeCell ref="A6:D6"/>
    <mergeCell ref="A7:D7"/>
    <mergeCell ref="A8:D8"/>
    <mergeCell ref="A9:D9"/>
    <mergeCell ref="A11:D11"/>
    <mergeCell ref="A12:D12"/>
    <mergeCell ref="A13:D13"/>
    <mergeCell ref="A15:D15"/>
    <mergeCell ref="A22:D22"/>
    <mergeCell ref="A23:D23"/>
    <mergeCell ref="B25:D25"/>
    <mergeCell ref="B26:D26"/>
    <mergeCell ref="B27:D27"/>
    <mergeCell ref="B28:D28"/>
    <mergeCell ref="B29:D29"/>
    <mergeCell ref="B30:D30"/>
    <mergeCell ref="B31:D31"/>
    <mergeCell ref="A33:D33"/>
    <mergeCell ref="A34:D34"/>
    <mergeCell ref="A35:D35"/>
    <mergeCell ref="A36:D36"/>
    <mergeCell ref="A37:D37"/>
    <mergeCell ref="A38:D38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12" min="8" style="0" width="9"/>
    <col collapsed="false" customWidth="true" hidden="false" outlineLevel="0" max="13" min="13" style="0" width="11"/>
    <col collapsed="false" customWidth="true" hidden="false" outlineLevel="0" max="15" min="14" style="0" width="9"/>
    <col collapsed="false" customWidth="true" hidden="false" outlineLevel="0" max="16" min="16" style="0" width="13"/>
    <col collapsed="false" customWidth="true" hidden="false" outlineLevel="0" max="18" min="17" style="0" width="11"/>
    <col collapsed="false" customWidth="true" hidden="false" outlineLevel="0" max="19" min="19" style="0" width="12"/>
    <col collapsed="false" customWidth="true" hidden="false" outlineLevel="0" max="22" min="20" style="0" width="16"/>
    <col collapsed="false" customWidth="true" hidden="false" outlineLevel="0" max="25" min="24" style="0" width="14"/>
  </cols>
  <sheetData>
    <row r="1" customFormat="false" ht="19.7" hidden="false" customHeight="fals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" hidden="false" customHeight="false" outlineLevel="0" collapsed="false">
      <c r="A2" s="11" t="s">
        <v>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4" customFormat="false" ht="33.75" hidden="false" customHeight="true" outlineLevel="0" collapsed="false">
      <c r="A4" s="12" t="s">
        <v>49</v>
      </c>
      <c r="B4" s="12" t="s">
        <v>50</v>
      </c>
      <c r="C4" s="12" t="s">
        <v>51</v>
      </c>
      <c r="D4" s="12" t="s">
        <v>52</v>
      </c>
      <c r="E4" s="12" t="s">
        <v>53</v>
      </c>
      <c r="F4" s="12" t="s">
        <v>54</v>
      </c>
      <c r="G4" s="12" t="s">
        <v>55</v>
      </c>
      <c r="H4" s="12" t="s">
        <v>56</v>
      </c>
      <c r="I4" s="12" t="s">
        <v>57</v>
      </c>
      <c r="J4" s="12" t="s">
        <v>58</v>
      </c>
      <c r="K4" s="12" t="s">
        <v>59</v>
      </c>
      <c r="L4" s="12" t="s">
        <v>60</v>
      </c>
      <c r="M4" s="12" t="s">
        <v>61</v>
      </c>
      <c r="N4" s="12" t="s">
        <v>62</v>
      </c>
      <c r="O4" s="12" t="s">
        <v>63</v>
      </c>
      <c r="P4" s="12" t="s">
        <v>64</v>
      </c>
      <c r="Q4" s="12" t="s">
        <v>65</v>
      </c>
      <c r="R4" s="12" t="s">
        <v>66</v>
      </c>
      <c r="S4" s="12" t="s">
        <v>67</v>
      </c>
      <c r="T4" s="12" t="s">
        <v>68</v>
      </c>
      <c r="U4" s="12" t="s">
        <v>69</v>
      </c>
      <c r="V4" s="12" t="s">
        <v>70</v>
      </c>
      <c r="X4" s="12" t="s">
        <v>71</v>
      </c>
      <c r="Y4" s="12" t="s">
        <v>72</v>
      </c>
    </row>
    <row r="5" customFormat="false" ht="19.5" hidden="false" customHeight="true" outlineLevel="0" collapsed="false">
      <c r="A5" s="13" t="s">
        <v>73</v>
      </c>
      <c r="B5" s="14" t="n">
        <v>18.5</v>
      </c>
      <c r="C5" s="14" t="n">
        <v>2</v>
      </c>
      <c r="D5" s="14" t="n">
        <v>1.5</v>
      </c>
      <c r="E5" s="15" t="n">
        <f aca="false">B5+C5+D5</f>
        <v>22</v>
      </c>
      <c r="F5" s="16" t="s">
        <v>21</v>
      </c>
      <c r="G5" s="17" t="n">
        <v>0</v>
      </c>
      <c r="H5" s="17" t="n">
        <v>0.18</v>
      </c>
      <c r="I5" s="17" t="n">
        <v>0</v>
      </c>
      <c r="J5" s="17" t="n">
        <v>0.05</v>
      </c>
      <c r="K5" s="17" t="n">
        <v>0.0065</v>
      </c>
      <c r="L5" s="17" t="n">
        <v>0.03</v>
      </c>
      <c r="M5" s="17" t="n">
        <v>0.0384</v>
      </c>
      <c r="N5" s="17" t="n">
        <v>0.009</v>
      </c>
      <c r="O5" s="17" t="n">
        <v>0.001</v>
      </c>
      <c r="P5" s="18" t="n">
        <f aca="false">SUM(G5:O5)</f>
        <v>0.3149</v>
      </c>
      <c r="Q5" s="17" t="n">
        <v>0.15</v>
      </c>
      <c r="R5" s="17" t="n">
        <v>0.25</v>
      </c>
      <c r="S5" s="17" t="n">
        <v>0.35</v>
      </c>
      <c r="T5" s="15" t="n">
        <f aca="false">IF((1-P5-Q5)&lt;=0,"Inviável",E5/(1-P5-Q5))</f>
        <v>41.1138105027098</v>
      </c>
      <c r="U5" s="15" t="n">
        <f aca="false">IF((1-P5-R5)&lt;=0,"Inviável",E5/(1-P5-R5))</f>
        <v>50.5630889450701</v>
      </c>
      <c r="V5" s="15" t="n">
        <f aca="false">IF((1-P5-S5)&lt;=0,"Inviável",E5/(1-P5-S5))</f>
        <v>65.6520441659206</v>
      </c>
      <c r="X5" s="15" t="n">
        <f aca="false">IF(ISNUMBER(U5),U5*P5,"-")</f>
        <v>15.9223167088026</v>
      </c>
      <c r="Y5" s="15" t="n">
        <f aca="false">IF(ISNUMBER(U5),U5*R5,"-")</f>
        <v>12.6407722362675</v>
      </c>
    </row>
    <row r="6" customFormat="false" ht="19.5" hidden="false" customHeight="true" outlineLevel="0" collapsed="false">
      <c r="A6" s="19"/>
      <c r="B6" s="20"/>
      <c r="C6" s="20"/>
      <c r="D6" s="20"/>
      <c r="E6" s="21" t="n">
        <f aca="false">B6+C6+D6</f>
        <v>0</v>
      </c>
      <c r="F6" s="22"/>
      <c r="G6" s="23"/>
      <c r="H6" s="23"/>
      <c r="I6" s="23"/>
      <c r="J6" s="23"/>
      <c r="K6" s="23"/>
      <c r="L6" s="23"/>
      <c r="M6" s="23"/>
      <c r="N6" s="23"/>
      <c r="O6" s="23"/>
      <c r="P6" s="24" t="n">
        <f aca="false">SUM(G6:O6)</f>
        <v>0</v>
      </c>
      <c r="Q6" s="23"/>
      <c r="R6" s="23"/>
      <c r="S6" s="23"/>
      <c r="T6" s="21" t="n">
        <f aca="false">IF((1-P6-Q6)&lt;=0,"Inviável",E6/(1-P6-Q6))</f>
        <v>0</v>
      </c>
      <c r="U6" s="21" t="n">
        <f aca="false">IF((1-P6-R6)&lt;=0,"Inviável",E6/(1-P6-R6))</f>
        <v>0</v>
      </c>
      <c r="V6" s="21" t="n">
        <f aca="false">IF((1-P6-S6)&lt;=0,"Inviável",E6/(1-P6-S6))</f>
        <v>0</v>
      </c>
      <c r="X6" s="21" t="n">
        <f aca="false">IF(ISNUMBER(U6),U6*P6,"-")</f>
        <v>0</v>
      </c>
      <c r="Y6" s="21" t="n">
        <f aca="false">IF(ISNUMBER(U6),U6*R6,"-")</f>
        <v>0</v>
      </c>
    </row>
    <row r="7" customFormat="false" ht="19.5" hidden="false" customHeight="true" outlineLevel="0" collapsed="false">
      <c r="A7" s="25"/>
      <c r="B7" s="26"/>
      <c r="C7" s="26"/>
      <c r="D7" s="26"/>
      <c r="E7" s="27" t="n">
        <f aca="false">B7+C7+D7</f>
        <v>0</v>
      </c>
      <c r="F7" s="28"/>
      <c r="G7" s="29"/>
      <c r="H7" s="29"/>
      <c r="I7" s="29"/>
      <c r="J7" s="29"/>
      <c r="K7" s="29"/>
      <c r="L7" s="29"/>
      <c r="M7" s="29"/>
      <c r="N7" s="29"/>
      <c r="O7" s="29"/>
      <c r="P7" s="30" t="n">
        <f aca="false">SUM(G7:O7)</f>
        <v>0</v>
      </c>
      <c r="Q7" s="29"/>
      <c r="R7" s="29"/>
      <c r="S7" s="29"/>
      <c r="T7" s="27" t="n">
        <f aca="false">IF((1-P7-Q7)&lt;=0,"Inviável",E7/(1-P7-Q7))</f>
        <v>0</v>
      </c>
      <c r="U7" s="27" t="n">
        <f aca="false">IF((1-P7-R7)&lt;=0,"Inviável",E7/(1-P7-R7))</f>
        <v>0</v>
      </c>
      <c r="V7" s="27" t="n">
        <f aca="false">IF((1-P7-S7)&lt;=0,"Inviável",E7/(1-P7-S7))</f>
        <v>0</v>
      </c>
      <c r="X7" s="27" t="n">
        <f aca="false">IF(ISNUMBER(U7),U7*P7,"-")</f>
        <v>0</v>
      </c>
      <c r="Y7" s="27" t="n">
        <f aca="false">IF(ISNUMBER(U7),U7*R7,"-")</f>
        <v>0</v>
      </c>
    </row>
    <row r="8" customFormat="false" ht="19.5" hidden="false" customHeight="true" outlineLevel="0" collapsed="false">
      <c r="A8" s="19"/>
      <c r="B8" s="20"/>
      <c r="C8" s="20"/>
      <c r="D8" s="20"/>
      <c r="E8" s="21" t="n">
        <f aca="false">B8+C8+D8</f>
        <v>0</v>
      </c>
      <c r="F8" s="22"/>
      <c r="G8" s="23"/>
      <c r="H8" s="23"/>
      <c r="I8" s="23"/>
      <c r="J8" s="23"/>
      <c r="K8" s="23"/>
      <c r="L8" s="23"/>
      <c r="M8" s="23"/>
      <c r="N8" s="23"/>
      <c r="O8" s="23"/>
      <c r="P8" s="24" t="n">
        <f aca="false">SUM(G8:O8)</f>
        <v>0</v>
      </c>
      <c r="Q8" s="23"/>
      <c r="R8" s="23"/>
      <c r="S8" s="23"/>
      <c r="T8" s="21" t="n">
        <f aca="false">IF((1-P8-Q8)&lt;=0,"Inviável",E8/(1-P8-Q8))</f>
        <v>0</v>
      </c>
      <c r="U8" s="21" t="n">
        <f aca="false">IF((1-P8-R8)&lt;=0,"Inviável",E8/(1-P8-R8))</f>
        <v>0</v>
      </c>
      <c r="V8" s="21" t="n">
        <f aca="false">IF((1-P8-S8)&lt;=0,"Inviável",E8/(1-P8-S8))</f>
        <v>0</v>
      </c>
      <c r="X8" s="21" t="n">
        <f aca="false">IF(ISNUMBER(U8),U8*P8,"-")</f>
        <v>0</v>
      </c>
      <c r="Y8" s="21" t="n">
        <f aca="false">IF(ISNUMBER(U8),U8*R8,"-")</f>
        <v>0</v>
      </c>
    </row>
    <row r="9" customFormat="false" ht="19.5" hidden="false" customHeight="true" outlineLevel="0" collapsed="false">
      <c r="A9" s="25"/>
      <c r="B9" s="26"/>
      <c r="C9" s="26"/>
      <c r="D9" s="26"/>
      <c r="E9" s="27" t="n">
        <f aca="false">B9+C9+D9</f>
        <v>0</v>
      </c>
      <c r="F9" s="28"/>
      <c r="G9" s="29"/>
      <c r="H9" s="29"/>
      <c r="I9" s="29"/>
      <c r="J9" s="29"/>
      <c r="K9" s="29"/>
      <c r="L9" s="29"/>
      <c r="M9" s="29"/>
      <c r="N9" s="29"/>
      <c r="O9" s="29"/>
      <c r="P9" s="30" t="n">
        <f aca="false">SUM(G9:O9)</f>
        <v>0</v>
      </c>
      <c r="Q9" s="29"/>
      <c r="R9" s="29"/>
      <c r="S9" s="29"/>
      <c r="T9" s="27" t="n">
        <f aca="false">IF((1-P9-Q9)&lt;=0,"Inviável",E9/(1-P9-Q9))</f>
        <v>0</v>
      </c>
      <c r="U9" s="27" t="n">
        <f aca="false">IF((1-P9-R9)&lt;=0,"Inviável",E9/(1-P9-R9))</f>
        <v>0</v>
      </c>
      <c r="V9" s="27" t="n">
        <f aca="false">IF((1-P9-S9)&lt;=0,"Inviável",E9/(1-P9-S9))</f>
        <v>0</v>
      </c>
      <c r="X9" s="27" t="n">
        <f aca="false">IF(ISNUMBER(U9),U9*P9,"-")</f>
        <v>0</v>
      </c>
      <c r="Y9" s="27" t="n">
        <f aca="false">IF(ISNUMBER(U9),U9*R9,"-")</f>
        <v>0</v>
      </c>
    </row>
    <row r="10" customFormat="false" ht="19.5" hidden="false" customHeight="true" outlineLevel="0" collapsed="false">
      <c r="A10" s="19"/>
      <c r="B10" s="20"/>
      <c r="C10" s="20"/>
      <c r="D10" s="20"/>
      <c r="E10" s="21" t="n">
        <f aca="false">B10+C10+D10</f>
        <v>0</v>
      </c>
      <c r="F10" s="22"/>
      <c r="G10" s="23"/>
      <c r="H10" s="23"/>
      <c r="I10" s="23"/>
      <c r="J10" s="23"/>
      <c r="K10" s="23"/>
      <c r="L10" s="23"/>
      <c r="M10" s="23"/>
      <c r="N10" s="23"/>
      <c r="O10" s="23"/>
      <c r="P10" s="24" t="n">
        <f aca="false">SUM(G10:O10)</f>
        <v>0</v>
      </c>
      <c r="Q10" s="23"/>
      <c r="R10" s="23"/>
      <c r="S10" s="23"/>
      <c r="T10" s="21" t="n">
        <f aca="false">IF((1-P10-Q10)&lt;=0,"Inviável",E10/(1-P10-Q10))</f>
        <v>0</v>
      </c>
      <c r="U10" s="21" t="n">
        <f aca="false">IF((1-P10-R10)&lt;=0,"Inviável",E10/(1-P10-R10))</f>
        <v>0</v>
      </c>
      <c r="V10" s="21" t="n">
        <f aca="false">IF((1-P10-S10)&lt;=0,"Inviável",E10/(1-P10-S10))</f>
        <v>0</v>
      </c>
      <c r="X10" s="21" t="n">
        <f aca="false">IF(ISNUMBER(U10),U10*P10,"-")</f>
        <v>0</v>
      </c>
      <c r="Y10" s="21" t="n">
        <f aca="false">IF(ISNUMBER(U10),U10*R10,"-")</f>
        <v>0</v>
      </c>
    </row>
    <row r="11" customFormat="false" ht="19.5" hidden="false" customHeight="true" outlineLevel="0" collapsed="false">
      <c r="A11" s="25"/>
      <c r="B11" s="26"/>
      <c r="C11" s="26"/>
      <c r="D11" s="26"/>
      <c r="E11" s="27" t="n">
        <f aca="false">B11+C11+D11</f>
        <v>0</v>
      </c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30" t="n">
        <f aca="false">SUM(G11:O11)</f>
        <v>0</v>
      </c>
      <c r="Q11" s="29"/>
      <c r="R11" s="29"/>
      <c r="S11" s="29"/>
      <c r="T11" s="27" t="n">
        <f aca="false">IF((1-P11-Q11)&lt;=0,"Inviável",E11/(1-P11-Q11))</f>
        <v>0</v>
      </c>
      <c r="U11" s="27" t="n">
        <f aca="false">IF((1-P11-R11)&lt;=0,"Inviável",E11/(1-P11-R11))</f>
        <v>0</v>
      </c>
      <c r="V11" s="27" t="n">
        <f aca="false">IF((1-P11-S11)&lt;=0,"Inviável",E11/(1-P11-S11))</f>
        <v>0</v>
      </c>
      <c r="X11" s="27" t="n">
        <f aca="false">IF(ISNUMBER(U11),U11*P11,"-")</f>
        <v>0</v>
      </c>
      <c r="Y11" s="27" t="n">
        <f aca="false">IF(ISNUMBER(U11),U11*R11,"-")</f>
        <v>0</v>
      </c>
    </row>
    <row r="12" customFormat="false" ht="19.5" hidden="false" customHeight="true" outlineLevel="0" collapsed="false">
      <c r="A12" s="19"/>
      <c r="B12" s="20"/>
      <c r="C12" s="20"/>
      <c r="D12" s="20"/>
      <c r="E12" s="21" t="n">
        <f aca="false">B12+C12+D12</f>
        <v>0</v>
      </c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4" t="n">
        <f aca="false">SUM(G12:O12)</f>
        <v>0</v>
      </c>
      <c r="Q12" s="23"/>
      <c r="R12" s="23"/>
      <c r="S12" s="23"/>
      <c r="T12" s="21" t="n">
        <f aca="false">IF((1-P12-Q12)&lt;=0,"Inviável",E12/(1-P12-Q12))</f>
        <v>0</v>
      </c>
      <c r="U12" s="21" t="n">
        <f aca="false">IF((1-P12-R12)&lt;=0,"Inviável",E12/(1-P12-R12))</f>
        <v>0</v>
      </c>
      <c r="V12" s="21" t="n">
        <f aca="false">IF((1-P12-S12)&lt;=0,"Inviável",E12/(1-P12-S12))</f>
        <v>0</v>
      </c>
      <c r="X12" s="21" t="n">
        <f aca="false">IF(ISNUMBER(U12),U12*P12,"-")</f>
        <v>0</v>
      </c>
      <c r="Y12" s="21" t="n">
        <f aca="false">IF(ISNUMBER(U12),U12*R12,"-")</f>
        <v>0</v>
      </c>
    </row>
    <row r="13" customFormat="false" ht="19.5" hidden="false" customHeight="true" outlineLevel="0" collapsed="false">
      <c r="A13" s="25"/>
      <c r="B13" s="26"/>
      <c r="C13" s="26"/>
      <c r="D13" s="26"/>
      <c r="E13" s="27" t="n">
        <f aca="false">B13+C13+D13</f>
        <v>0</v>
      </c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30" t="n">
        <f aca="false">SUM(G13:O13)</f>
        <v>0</v>
      </c>
      <c r="Q13" s="29"/>
      <c r="R13" s="29"/>
      <c r="S13" s="29"/>
      <c r="T13" s="27" t="n">
        <f aca="false">IF((1-P13-Q13)&lt;=0,"Inviável",E13/(1-P13-Q13))</f>
        <v>0</v>
      </c>
      <c r="U13" s="27" t="n">
        <f aca="false">IF((1-P13-R13)&lt;=0,"Inviável",E13/(1-P13-R13))</f>
        <v>0</v>
      </c>
      <c r="V13" s="27" t="n">
        <f aca="false">IF((1-P13-S13)&lt;=0,"Inviável",E13/(1-P13-S13))</f>
        <v>0</v>
      </c>
      <c r="X13" s="27" t="n">
        <f aca="false">IF(ISNUMBER(U13),U13*P13,"-")</f>
        <v>0</v>
      </c>
      <c r="Y13" s="27" t="n">
        <f aca="false">IF(ISNUMBER(U13),U13*R13,"-")</f>
        <v>0</v>
      </c>
    </row>
    <row r="14" customFormat="false" ht="19.5" hidden="false" customHeight="true" outlineLevel="0" collapsed="false">
      <c r="A14" s="19"/>
      <c r="B14" s="20"/>
      <c r="C14" s="20"/>
      <c r="D14" s="20"/>
      <c r="E14" s="21" t="n">
        <f aca="false">B14+C14+D14</f>
        <v>0</v>
      </c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24" t="n">
        <f aca="false">SUM(G14:O14)</f>
        <v>0</v>
      </c>
      <c r="Q14" s="23"/>
      <c r="R14" s="23"/>
      <c r="S14" s="23"/>
      <c r="T14" s="21" t="n">
        <f aca="false">IF((1-P14-Q14)&lt;=0,"Inviável",E14/(1-P14-Q14))</f>
        <v>0</v>
      </c>
      <c r="U14" s="21" t="n">
        <f aca="false">IF((1-P14-R14)&lt;=0,"Inviável",E14/(1-P14-R14))</f>
        <v>0</v>
      </c>
      <c r="V14" s="21" t="n">
        <f aca="false">IF((1-P14-S14)&lt;=0,"Inviável",E14/(1-P14-S14))</f>
        <v>0</v>
      </c>
      <c r="X14" s="21" t="n">
        <f aca="false">IF(ISNUMBER(U14),U14*P14,"-")</f>
        <v>0</v>
      </c>
      <c r="Y14" s="21" t="n">
        <f aca="false">IF(ISNUMBER(U14),U14*R14,"-")</f>
        <v>0</v>
      </c>
    </row>
    <row r="15" customFormat="false" ht="19.5" hidden="false" customHeight="true" outlineLevel="0" collapsed="false">
      <c r="A15" s="25"/>
      <c r="B15" s="26"/>
      <c r="C15" s="26"/>
      <c r="D15" s="26"/>
      <c r="E15" s="27" t="n">
        <f aca="false">B15+C15+D15</f>
        <v>0</v>
      </c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30" t="n">
        <f aca="false">SUM(G15:O15)</f>
        <v>0</v>
      </c>
      <c r="Q15" s="29"/>
      <c r="R15" s="29"/>
      <c r="S15" s="29"/>
      <c r="T15" s="27" t="n">
        <f aca="false">IF((1-P15-Q15)&lt;=0,"Inviável",E15/(1-P15-Q15))</f>
        <v>0</v>
      </c>
      <c r="U15" s="27" t="n">
        <f aca="false">IF((1-P15-R15)&lt;=0,"Inviável",E15/(1-P15-R15))</f>
        <v>0</v>
      </c>
      <c r="V15" s="27" t="n">
        <f aca="false">IF((1-P15-S15)&lt;=0,"Inviável",E15/(1-P15-S15))</f>
        <v>0</v>
      </c>
      <c r="X15" s="27" t="n">
        <f aca="false">IF(ISNUMBER(U15),U15*P15,"-")</f>
        <v>0</v>
      </c>
      <c r="Y15" s="27" t="n">
        <f aca="false">IF(ISNUMBER(U15),U15*R15,"-")</f>
        <v>0</v>
      </c>
    </row>
    <row r="16" customFormat="false" ht="19.5" hidden="false" customHeight="true" outlineLevel="0" collapsed="false">
      <c r="A16" s="19"/>
      <c r="B16" s="20"/>
      <c r="C16" s="20"/>
      <c r="D16" s="20"/>
      <c r="E16" s="21" t="n">
        <f aca="false">B16+C16+D16</f>
        <v>0</v>
      </c>
      <c r="F16" s="22"/>
      <c r="G16" s="23"/>
      <c r="H16" s="23"/>
      <c r="I16" s="23"/>
      <c r="J16" s="23"/>
      <c r="K16" s="23"/>
      <c r="L16" s="23"/>
      <c r="M16" s="23"/>
      <c r="N16" s="23"/>
      <c r="O16" s="23"/>
      <c r="P16" s="24" t="n">
        <f aca="false">SUM(G16:O16)</f>
        <v>0</v>
      </c>
      <c r="Q16" s="23"/>
      <c r="R16" s="23"/>
      <c r="S16" s="23"/>
      <c r="T16" s="21" t="n">
        <f aca="false">IF((1-P16-Q16)&lt;=0,"Inviável",E16/(1-P16-Q16))</f>
        <v>0</v>
      </c>
      <c r="U16" s="21" t="n">
        <f aca="false">IF((1-P16-R16)&lt;=0,"Inviável",E16/(1-P16-R16))</f>
        <v>0</v>
      </c>
      <c r="V16" s="21" t="n">
        <f aca="false">IF((1-P16-S16)&lt;=0,"Inviável",E16/(1-P16-S16))</f>
        <v>0</v>
      </c>
      <c r="X16" s="21" t="n">
        <f aca="false">IF(ISNUMBER(U16),U16*P16,"-")</f>
        <v>0</v>
      </c>
      <c r="Y16" s="21" t="n">
        <f aca="false">IF(ISNUMBER(U16),U16*R16,"-")</f>
        <v>0</v>
      </c>
    </row>
    <row r="17" customFormat="false" ht="19.5" hidden="false" customHeight="true" outlineLevel="0" collapsed="false">
      <c r="A17" s="25"/>
      <c r="B17" s="26"/>
      <c r="C17" s="26"/>
      <c r="D17" s="26"/>
      <c r="E17" s="27" t="n">
        <f aca="false">B17+C17+D17</f>
        <v>0</v>
      </c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30" t="n">
        <f aca="false">SUM(G17:O17)</f>
        <v>0</v>
      </c>
      <c r="Q17" s="29"/>
      <c r="R17" s="29"/>
      <c r="S17" s="29"/>
      <c r="T17" s="27" t="n">
        <f aca="false">IF((1-P17-Q17)&lt;=0,"Inviável",E17/(1-P17-Q17))</f>
        <v>0</v>
      </c>
      <c r="U17" s="27" t="n">
        <f aca="false">IF((1-P17-R17)&lt;=0,"Inviável",E17/(1-P17-R17))</f>
        <v>0</v>
      </c>
      <c r="V17" s="27" t="n">
        <f aca="false">IF((1-P17-S17)&lt;=0,"Inviável",E17/(1-P17-S17))</f>
        <v>0</v>
      </c>
      <c r="X17" s="27" t="n">
        <f aca="false">IF(ISNUMBER(U17),U17*P17,"-")</f>
        <v>0</v>
      </c>
      <c r="Y17" s="27" t="n">
        <f aca="false">IF(ISNUMBER(U17),U17*R17,"-")</f>
        <v>0</v>
      </c>
    </row>
    <row r="18" customFormat="false" ht="19.5" hidden="false" customHeight="true" outlineLevel="0" collapsed="false">
      <c r="A18" s="19"/>
      <c r="B18" s="20"/>
      <c r="C18" s="20"/>
      <c r="D18" s="20"/>
      <c r="E18" s="21" t="n">
        <f aca="false">B18+C18+D18</f>
        <v>0</v>
      </c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4" t="n">
        <f aca="false">SUM(G18:O18)</f>
        <v>0</v>
      </c>
      <c r="Q18" s="23"/>
      <c r="R18" s="23"/>
      <c r="S18" s="23"/>
      <c r="T18" s="21" t="n">
        <f aca="false">IF((1-P18-Q18)&lt;=0,"Inviável",E18/(1-P18-Q18))</f>
        <v>0</v>
      </c>
      <c r="U18" s="21" t="n">
        <f aca="false">IF((1-P18-R18)&lt;=0,"Inviável",E18/(1-P18-R18))</f>
        <v>0</v>
      </c>
      <c r="V18" s="21" t="n">
        <f aca="false">IF((1-P18-S18)&lt;=0,"Inviável",E18/(1-P18-S18))</f>
        <v>0</v>
      </c>
      <c r="X18" s="21" t="n">
        <f aca="false">IF(ISNUMBER(U18),U18*P18,"-")</f>
        <v>0</v>
      </c>
      <c r="Y18" s="21" t="n">
        <f aca="false">IF(ISNUMBER(U18),U18*R18,"-")</f>
        <v>0</v>
      </c>
    </row>
    <row r="19" customFormat="false" ht="19.5" hidden="false" customHeight="true" outlineLevel="0" collapsed="false">
      <c r="A19" s="25"/>
      <c r="B19" s="26"/>
      <c r="C19" s="26"/>
      <c r="D19" s="26"/>
      <c r="E19" s="27" t="n">
        <f aca="false">B19+C19+D19</f>
        <v>0</v>
      </c>
      <c r="F19" s="28"/>
      <c r="G19" s="29"/>
      <c r="H19" s="29"/>
      <c r="I19" s="29"/>
      <c r="J19" s="29"/>
      <c r="K19" s="29"/>
      <c r="L19" s="29"/>
      <c r="M19" s="29"/>
      <c r="N19" s="29"/>
      <c r="O19" s="29"/>
      <c r="P19" s="30" t="n">
        <f aca="false">SUM(G19:O19)</f>
        <v>0</v>
      </c>
      <c r="Q19" s="29"/>
      <c r="R19" s="29"/>
      <c r="S19" s="29"/>
      <c r="T19" s="27" t="n">
        <f aca="false">IF((1-P19-Q19)&lt;=0,"Inviável",E19/(1-P19-Q19))</f>
        <v>0</v>
      </c>
      <c r="U19" s="27" t="n">
        <f aca="false">IF((1-P19-R19)&lt;=0,"Inviável",E19/(1-P19-R19))</f>
        <v>0</v>
      </c>
      <c r="V19" s="27" t="n">
        <f aca="false">IF((1-P19-S19)&lt;=0,"Inviável",E19/(1-P19-S19))</f>
        <v>0</v>
      </c>
      <c r="X19" s="27" t="n">
        <f aca="false">IF(ISNUMBER(U19),U19*P19,"-")</f>
        <v>0</v>
      </c>
      <c r="Y19" s="27" t="n">
        <f aca="false">IF(ISNUMBER(U19),U19*R19,"-")</f>
        <v>0</v>
      </c>
    </row>
    <row r="20" customFormat="false" ht="19.5" hidden="false" customHeight="true" outlineLevel="0" collapsed="false">
      <c r="A20" s="19"/>
      <c r="B20" s="20"/>
      <c r="C20" s="20"/>
      <c r="D20" s="20"/>
      <c r="E20" s="21" t="n">
        <f aca="false">B20+C20+D20</f>
        <v>0</v>
      </c>
      <c r="F20" s="22"/>
      <c r="G20" s="23"/>
      <c r="H20" s="23"/>
      <c r="I20" s="23"/>
      <c r="J20" s="23"/>
      <c r="K20" s="23"/>
      <c r="L20" s="23"/>
      <c r="M20" s="23"/>
      <c r="N20" s="23"/>
      <c r="O20" s="23"/>
      <c r="P20" s="24" t="n">
        <f aca="false">SUM(G20:O20)</f>
        <v>0</v>
      </c>
      <c r="Q20" s="23"/>
      <c r="R20" s="23"/>
      <c r="S20" s="23"/>
      <c r="T20" s="21" t="n">
        <f aca="false">IF((1-P20-Q20)&lt;=0,"Inviável",E20/(1-P20-Q20))</f>
        <v>0</v>
      </c>
      <c r="U20" s="21" t="n">
        <f aca="false">IF((1-P20-R20)&lt;=0,"Inviável",E20/(1-P20-R20))</f>
        <v>0</v>
      </c>
      <c r="V20" s="21" t="n">
        <f aca="false">IF((1-P20-S20)&lt;=0,"Inviável",E20/(1-P20-S20))</f>
        <v>0</v>
      </c>
      <c r="X20" s="21" t="n">
        <f aca="false">IF(ISNUMBER(U20),U20*P20,"-")</f>
        <v>0</v>
      </c>
      <c r="Y20" s="21" t="n">
        <f aca="false">IF(ISNUMBER(U20),U20*R20,"-")</f>
        <v>0</v>
      </c>
    </row>
    <row r="21" customFormat="false" ht="19.5" hidden="false" customHeight="true" outlineLevel="0" collapsed="false">
      <c r="A21" s="25"/>
      <c r="B21" s="26"/>
      <c r="C21" s="26"/>
      <c r="D21" s="26"/>
      <c r="E21" s="27" t="n">
        <f aca="false">B21+C21+D21</f>
        <v>0</v>
      </c>
      <c r="F21" s="28"/>
      <c r="G21" s="29"/>
      <c r="H21" s="29"/>
      <c r="I21" s="29"/>
      <c r="J21" s="29"/>
      <c r="K21" s="29"/>
      <c r="L21" s="29"/>
      <c r="M21" s="29"/>
      <c r="N21" s="29"/>
      <c r="O21" s="29"/>
      <c r="P21" s="30" t="n">
        <f aca="false">SUM(G21:O21)</f>
        <v>0</v>
      </c>
      <c r="Q21" s="29"/>
      <c r="R21" s="29"/>
      <c r="S21" s="29"/>
      <c r="T21" s="27" t="n">
        <f aca="false">IF((1-P21-Q21)&lt;=0,"Inviável",E21/(1-P21-Q21))</f>
        <v>0</v>
      </c>
      <c r="U21" s="27" t="n">
        <f aca="false">IF((1-P21-R21)&lt;=0,"Inviável",E21/(1-P21-R21))</f>
        <v>0</v>
      </c>
      <c r="V21" s="27" t="n">
        <f aca="false">IF((1-P21-S21)&lt;=0,"Inviável",E21/(1-P21-S21))</f>
        <v>0</v>
      </c>
      <c r="X21" s="27" t="n">
        <f aca="false">IF(ISNUMBER(U21),U21*P21,"-")</f>
        <v>0</v>
      </c>
      <c r="Y21" s="27" t="n">
        <f aca="false">IF(ISNUMBER(U21),U21*R21,"-")</f>
        <v>0</v>
      </c>
    </row>
    <row r="22" customFormat="false" ht="19.5" hidden="false" customHeight="true" outlineLevel="0" collapsed="false">
      <c r="A22" s="19"/>
      <c r="B22" s="20"/>
      <c r="C22" s="20"/>
      <c r="D22" s="20"/>
      <c r="E22" s="21" t="n">
        <f aca="false">B22+C22+D22</f>
        <v>0</v>
      </c>
      <c r="F22" s="22"/>
      <c r="G22" s="23"/>
      <c r="H22" s="23"/>
      <c r="I22" s="23"/>
      <c r="J22" s="23"/>
      <c r="K22" s="23"/>
      <c r="L22" s="23"/>
      <c r="M22" s="23"/>
      <c r="N22" s="23"/>
      <c r="O22" s="23"/>
      <c r="P22" s="24" t="n">
        <f aca="false">SUM(G22:O22)</f>
        <v>0</v>
      </c>
      <c r="Q22" s="23"/>
      <c r="R22" s="23"/>
      <c r="S22" s="23"/>
      <c r="T22" s="21" t="n">
        <f aca="false">IF((1-P22-Q22)&lt;=0,"Inviável",E22/(1-P22-Q22))</f>
        <v>0</v>
      </c>
      <c r="U22" s="21" t="n">
        <f aca="false">IF((1-P22-R22)&lt;=0,"Inviável",E22/(1-P22-R22))</f>
        <v>0</v>
      </c>
      <c r="V22" s="21" t="n">
        <f aca="false">IF((1-P22-S22)&lt;=0,"Inviável",E22/(1-P22-S22))</f>
        <v>0</v>
      </c>
      <c r="X22" s="21" t="n">
        <f aca="false">IF(ISNUMBER(U22),U22*P22,"-")</f>
        <v>0</v>
      </c>
      <c r="Y22" s="21" t="n">
        <f aca="false">IF(ISNUMBER(U22),U22*R22,"-")</f>
        <v>0</v>
      </c>
    </row>
    <row r="23" customFormat="false" ht="19.5" hidden="false" customHeight="true" outlineLevel="0" collapsed="false">
      <c r="A23" s="25"/>
      <c r="B23" s="26"/>
      <c r="C23" s="26"/>
      <c r="D23" s="26"/>
      <c r="E23" s="27" t="n">
        <f aca="false">B23+C23+D23</f>
        <v>0</v>
      </c>
      <c r="F23" s="28"/>
      <c r="G23" s="29"/>
      <c r="H23" s="29"/>
      <c r="I23" s="29"/>
      <c r="J23" s="29"/>
      <c r="K23" s="29"/>
      <c r="L23" s="29"/>
      <c r="M23" s="29"/>
      <c r="N23" s="29"/>
      <c r="O23" s="29"/>
      <c r="P23" s="30" t="n">
        <f aca="false">SUM(G23:O23)</f>
        <v>0</v>
      </c>
      <c r="Q23" s="29"/>
      <c r="R23" s="29"/>
      <c r="S23" s="29"/>
      <c r="T23" s="27" t="n">
        <f aca="false">IF((1-P23-Q23)&lt;=0,"Inviável",E23/(1-P23-Q23))</f>
        <v>0</v>
      </c>
      <c r="U23" s="27" t="n">
        <f aca="false">IF((1-P23-R23)&lt;=0,"Inviável",E23/(1-P23-R23))</f>
        <v>0</v>
      </c>
      <c r="V23" s="27" t="n">
        <f aca="false">IF((1-P23-S23)&lt;=0,"Inviável",E23/(1-P23-S23))</f>
        <v>0</v>
      </c>
      <c r="X23" s="27" t="n">
        <f aca="false">IF(ISNUMBER(U23),U23*P23,"-")</f>
        <v>0</v>
      </c>
      <c r="Y23" s="27" t="n">
        <f aca="false">IF(ISNUMBER(U23),U23*R23,"-")</f>
        <v>0</v>
      </c>
    </row>
    <row r="24" customFormat="false" ht="19.5" hidden="false" customHeight="true" outlineLevel="0" collapsed="false">
      <c r="A24" s="19"/>
      <c r="B24" s="20"/>
      <c r="C24" s="20"/>
      <c r="D24" s="20"/>
      <c r="E24" s="21" t="n">
        <f aca="false">B24+C24+D24</f>
        <v>0</v>
      </c>
      <c r="F24" s="22"/>
      <c r="G24" s="23"/>
      <c r="H24" s="23"/>
      <c r="I24" s="23"/>
      <c r="J24" s="23"/>
      <c r="K24" s="23"/>
      <c r="L24" s="23"/>
      <c r="M24" s="23"/>
      <c r="N24" s="23"/>
      <c r="O24" s="23"/>
      <c r="P24" s="24" t="n">
        <f aca="false">SUM(G24:O24)</f>
        <v>0</v>
      </c>
      <c r="Q24" s="23"/>
      <c r="R24" s="23"/>
      <c r="S24" s="23"/>
      <c r="T24" s="21" t="n">
        <f aca="false">IF((1-P24-Q24)&lt;=0,"Inviável",E24/(1-P24-Q24))</f>
        <v>0</v>
      </c>
      <c r="U24" s="21" t="n">
        <f aca="false">IF((1-P24-R24)&lt;=0,"Inviável",E24/(1-P24-R24))</f>
        <v>0</v>
      </c>
      <c r="V24" s="21" t="n">
        <f aca="false">IF((1-P24-S24)&lt;=0,"Inviável",E24/(1-P24-S24))</f>
        <v>0</v>
      </c>
      <c r="X24" s="21" t="n">
        <f aca="false">IF(ISNUMBER(U24),U24*P24,"-")</f>
        <v>0</v>
      </c>
      <c r="Y24" s="21" t="n">
        <f aca="false">IF(ISNUMBER(U24),U24*R24,"-")</f>
        <v>0</v>
      </c>
    </row>
    <row r="25" customFormat="false" ht="19.5" hidden="false" customHeight="true" outlineLevel="0" collapsed="false">
      <c r="A25" s="25"/>
      <c r="B25" s="26"/>
      <c r="C25" s="26"/>
      <c r="D25" s="26"/>
      <c r="E25" s="27" t="n">
        <f aca="false">B25+C25+D25</f>
        <v>0</v>
      </c>
      <c r="F25" s="28"/>
      <c r="G25" s="29"/>
      <c r="H25" s="29"/>
      <c r="I25" s="29"/>
      <c r="J25" s="29"/>
      <c r="K25" s="29"/>
      <c r="L25" s="29"/>
      <c r="M25" s="29"/>
      <c r="N25" s="29"/>
      <c r="O25" s="29"/>
      <c r="P25" s="30" t="n">
        <f aca="false">SUM(G25:O25)</f>
        <v>0</v>
      </c>
      <c r="Q25" s="29"/>
      <c r="R25" s="29"/>
      <c r="S25" s="29"/>
      <c r="T25" s="27" t="n">
        <f aca="false">IF((1-P25-Q25)&lt;=0,"Inviável",E25/(1-P25-Q25))</f>
        <v>0</v>
      </c>
      <c r="U25" s="27" t="n">
        <f aca="false">IF((1-P25-R25)&lt;=0,"Inviável",E25/(1-P25-R25))</f>
        <v>0</v>
      </c>
      <c r="V25" s="27" t="n">
        <f aca="false">IF((1-P25-S25)&lt;=0,"Inviável",E25/(1-P25-S25))</f>
        <v>0</v>
      </c>
      <c r="X25" s="27" t="n">
        <f aca="false">IF(ISNUMBER(U25),U25*P25,"-")</f>
        <v>0</v>
      </c>
      <c r="Y25" s="27" t="n">
        <f aca="false">IF(ISNUMBER(U25),U25*R25,"-")</f>
        <v>0</v>
      </c>
    </row>
    <row r="26" customFormat="false" ht="19.5" hidden="false" customHeight="true" outlineLevel="0" collapsed="false">
      <c r="A26" s="19"/>
      <c r="B26" s="20"/>
      <c r="C26" s="20"/>
      <c r="D26" s="20"/>
      <c r="E26" s="21" t="n">
        <f aca="false">B26+C26+D26</f>
        <v>0</v>
      </c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4" t="n">
        <f aca="false">SUM(G26:O26)</f>
        <v>0</v>
      </c>
      <c r="Q26" s="23"/>
      <c r="R26" s="23"/>
      <c r="S26" s="23"/>
      <c r="T26" s="21" t="n">
        <f aca="false">IF((1-P26-Q26)&lt;=0,"Inviável",E26/(1-P26-Q26))</f>
        <v>0</v>
      </c>
      <c r="U26" s="21" t="n">
        <f aca="false">IF((1-P26-R26)&lt;=0,"Inviável",E26/(1-P26-R26))</f>
        <v>0</v>
      </c>
      <c r="V26" s="21" t="n">
        <f aca="false">IF((1-P26-S26)&lt;=0,"Inviável",E26/(1-P26-S26))</f>
        <v>0</v>
      </c>
      <c r="X26" s="21" t="n">
        <f aca="false">IF(ISNUMBER(U26),U26*P26,"-")</f>
        <v>0</v>
      </c>
      <c r="Y26" s="21" t="n">
        <f aca="false">IF(ISNUMBER(U26),U26*R26,"-")</f>
        <v>0</v>
      </c>
    </row>
    <row r="27" customFormat="false" ht="19.5" hidden="false" customHeight="true" outlineLevel="0" collapsed="false">
      <c r="A27" s="25"/>
      <c r="B27" s="26"/>
      <c r="C27" s="26"/>
      <c r="D27" s="26"/>
      <c r="E27" s="27" t="n">
        <f aca="false">B27+C27+D27</f>
        <v>0</v>
      </c>
      <c r="F27" s="28"/>
      <c r="G27" s="29"/>
      <c r="H27" s="29"/>
      <c r="I27" s="29"/>
      <c r="J27" s="29"/>
      <c r="K27" s="29"/>
      <c r="L27" s="29"/>
      <c r="M27" s="29"/>
      <c r="N27" s="29"/>
      <c r="O27" s="29"/>
      <c r="P27" s="30" t="n">
        <f aca="false">SUM(G27:O27)</f>
        <v>0</v>
      </c>
      <c r="Q27" s="29"/>
      <c r="R27" s="29"/>
      <c r="S27" s="29"/>
      <c r="T27" s="27" t="n">
        <f aca="false">IF((1-P27-Q27)&lt;=0,"Inviável",E27/(1-P27-Q27))</f>
        <v>0</v>
      </c>
      <c r="U27" s="27" t="n">
        <f aca="false">IF((1-P27-R27)&lt;=0,"Inviável",E27/(1-P27-R27))</f>
        <v>0</v>
      </c>
      <c r="V27" s="27" t="n">
        <f aca="false">IF((1-P27-S27)&lt;=0,"Inviável",E27/(1-P27-S27))</f>
        <v>0</v>
      </c>
      <c r="X27" s="27" t="n">
        <f aca="false">IF(ISNUMBER(U27),U27*P27,"-")</f>
        <v>0</v>
      </c>
      <c r="Y27" s="27" t="n">
        <f aca="false">IF(ISNUMBER(U27),U27*R27,"-")</f>
        <v>0</v>
      </c>
    </row>
    <row r="28" customFormat="false" ht="19.5" hidden="false" customHeight="true" outlineLevel="0" collapsed="false">
      <c r="A28" s="19"/>
      <c r="B28" s="20"/>
      <c r="C28" s="20"/>
      <c r="D28" s="20"/>
      <c r="E28" s="21" t="n">
        <f aca="false">B28+C28+D28</f>
        <v>0</v>
      </c>
      <c r="F28" s="22"/>
      <c r="G28" s="23"/>
      <c r="H28" s="23"/>
      <c r="I28" s="23"/>
      <c r="J28" s="23"/>
      <c r="K28" s="23"/>
      <c r="L28" s="23"/>
      <c r="M28" s="23"/>
      <c r="N28" s="23"/>
      <c r="O28" s="23"/>
      <c r="P28" s="24" t="n">
        <f aca="false">SUM(G28:O28)</f>
        <v>0</v>
      </c>
      <c r="Q28" s="23"/>
      <c r="R28" s="23"/>
      <c r="S28" s="23"/>
      <c r="T28" s="21" t="n">
        <f aca="false">IF((1-P28-Q28)&lt;=0,"Inviável",E28/(1-P28-Q28))</f>
        <v>0</v>
      </c>
      <c r="U28" s="21" t="n">
        <f aca="false">IF((1-P28-R28)&lt;=0,"Inviável",E28/(1-P28-R28))</f>
        <v>0</v>
      </c>
      <c r="V28" s="21" t="n">
        <f aca="false">IF((1-P28-S28)&lt;=0,"Inviável",E28/(1-P28-S28))</f>
        <v>0</v>
      </c>
      <c r="X28" s="21" t="n">
        <f aca="false">IF(ISNUMBER(U28),U28*P28,"-")</f>
        <v>0</v>
      </c>
      <c r="Y28" s="21" t="n">
        <f aca="false">IF(ISNUMBER(U28),U28*R28,"-")</f>
        <v>0</v>
      </c>
    </row>
    <row r="29" customFormat="false" ht="19.5" hidden="false" customHeight="true" outlineLevel="0" collapsed="false">
      <c r="A29" s="25"/>
      <c r="B29" s="26"/>
      <c r="C29" s="26"/>
      <c r="D29" s="26"/>
      <c r="E29" s="27" t="n">
        <f aca="false">B29+C29+D29</f>
        <v>0</v>
      </c>
      <c r="F29" s="28"/>
      <c r="G29" s="29"/>
      <c r="H29" s="29"/>
      <c r="I29" s="29"/>
      <c r="J29" s="29"/>
      <c r="K29" s="29"/>
      <c r="L29" s="29"/>
      <c r="M29" s="29"/>
      <c r="N29" s="29"/>
      <c r="O29" s="29"/>
      <c r="P29" s="30" t="n">
        <f aca="false">SUM(G29:O29)</f>
        <v>0</v>
      </c>
      <c r="Q29" s="29"/>
      <c r="R29" s="29"/>
      <c r="S29" s="29"/>
      <c r="T29" s="27" t="n">
        <f aca="false">IF((1-P29-Q29)&lt;=0,"Inviável",E29/(1-P29-Q29))</f>
        <v>0</v>
      </c>
      <c r="U29" s="27" t="n">
        <f aca="false">IF((1-P29-R29)&lt;=0,"Inviável",E29/(1-P29-R29))</f>
        <v>0</v>
      </c>
      <c r="V29" s="27" t="n">
        <f aca="false">IF((1-P29-S29)&lt;=0,"Inviável",E29/(1-P29-S29))</f>
        <v>0</v>
      </c>
      <c r="X29" s="27" t="n">
        <f aca="false">IF(ISNUMBER(U29),U29*P29,"-")</f>
        <v>0</v>
      </c>
      <c r="Y29" s="27" t="n">
        <f aca="false">IF(ISNUMBER(U29),U29*R29,"-")</f>
        <v>0</v>
      </c>
    </row>
    <row r="30" customFormat="false" ht="19.5" hidden="false" customHeight="true" outlineLevel="0" collapsed="false">
      <c r="A30" s="19"/>
      <c r="B30" s="20"/>
      <c r="C30" s="20"/>
      <c r="D30" s="20"/>
      <c r="E30" s="21" t="n">
        <f aca="false">B30+C30+D30</f>
        <v>0</v>
      </c>
      <c r="F30" s="22"/>
      <c r="G30" s="23"/>
      <c r="H30" s="23"/>
      <c r="I30" s="23"/>
      <c r="J30" s="23"/>
      <c r="K30" s="23"/>
      <c r="L30" s="23"/>
      <c r="M30" s="23"/>
      <c r="N30" s="23"/>
      <c r="O30" s="23"/>
      <c r="P30" s="24" t="n">
        <f aca="false">SUM(G30:O30)</f>
        <v>0</v>
      </c>
      <c r="Q30" s="23"/>
      <c r="R30" s="23"/>
      <c r="S30" s="23"/>
      <c r="T30" s="21" t="n">
        <f aca="false">IF((1-P30-Q30)&lt;=0,"Inviável",E30/(1-P30-Q30))</f>
        <v>0</v>
      </c>
      <c r="U30" s="21" t="n">
        <f aca="false">IF((1-P30-R30)&lt;=0,"Inviável",E30/(1-P30-R30))</f>
        <v>0</v>
      </c>
      <c r="V30" s="21" t="n">
        <f aca="false">IF((1-P30-S30)&lt;=0,"Inviável",E30/(1-P30-S30))</f>
        <v>0</v>
      </c>
      <c r="X30" s="21" t="n">
        <f aca="false">IF(ISNUMBER(U30),U30*P30,"-")</f>
        <v>0</v>
      </c>
      <c r="Y30" s="21" t="n">
        <f aca="false">IF(ISNUMBER(U30),U30*R30,"-")</f>
        <v>0</v>
      </c>
    </row>
  </sheetData>
  <mergeCells count="2">
    <mergeCell ref="A1:Y1"/>
    <mergeCell ref="A2:Y2"/>
  </mergeCells>
  <dataValidations count="1">
    <dataValidation allowBlank="true" error="Escolha um regime da lista." errorStyle="stop" operator="between" prompt="Selecione o regime tributário do produto." showDropDown="false" showErrorMessage="false" showInputMessage="false" sqref="F5:F30" type="list">
      <formula1>"Simples Nacional - Regular,Simples Nacional - Híbrido,Lucro Presumido,Lucro Real"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2026-08-03T19:04:00Z</dcterms:created>
  <dc:creator>openpyxl</dc:creator>
  <dc:description/>
  <dc:language>en-US</dc:language>
  <cp:lastModifiedBy/>
  <dcterms:modified xsi:type="dcterms:W3CDTF">2026-08-03T19:04:00Z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